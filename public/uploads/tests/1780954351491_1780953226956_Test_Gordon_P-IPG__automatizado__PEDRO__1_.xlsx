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F975259-73E8-4A08-A753-9C9F607FE0E1}" xr6:coauthVersionLast="47" xr6:coauthVersionMax="47" xr10:uidLastSave="{00000000-0000-0000-0000-000000000000}"/>
  <bookViews>
    <workbookView xWindow="-110" yWindow="-110" windowWidth="19420" windowHeight="10300" tabRatio="937" xr2:uid="{00000000-000D-0000-FFFF-FFFF00000000}"/>
  </bookViews>
  <sheets>
    <sheet name="APLICACION Y CONTEO" sheetId="18" r:id="rId1"/>
    <sheet name="CALIFICACIÓN" sheetId="19" r:id="rId2"/>
  </sheets>
  <definedNames>
    <definedName name="_xlnm.Print_Area" localSheetId="1">CALIFICACIÓN!$D$4:$N$20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9" l="1"/>
  <c r="C4" i="19"/>
  <c r="C5" i="19"/>
  <c r="C6" i="19"/>
  <c r="C8" i="19"/>
  <c r="C10" i="19"/>
  <c r="C11" i="19"/>
  <c r="C12" i="19"/>
  <c r="C13" i="19"/>
  <c r="W11" i="18" l="1"/>
  <c r="V11" i="18"/>
  <c r="U11" i="18"/>
  <c r="T11" i="18"/>
  <c r="R11" i="18"/>
  <c r="Q11" i="18"/>
  <c r="P11" i="18"/>
  <c r="O11" i="18"/>
  <c r="S11" i="18" l="1"/>
</calcChain>
</file>

<file path=xl/sharedStrings.xml><?xml version="1.0" encoding="utf-8"?>
<sst xmlns="http://schemas.openxmlformats.org/spreadsheetml/2006/main" count="200" uniqueCount="189">
  <si>
    <t>PPG</t>
  </si>
  <si>
    <t>IPG</t>
  </si>
  <si>
    <t>PD</t>
  </si>
  <si>
    <t>P</t>
  </si>
  <si>
    <t>A</t>
  </si>
  <si>
    <t>R</t>
  </si>
  <si>
    <t>E</t>
  </si>
  <si>
    <t>S</t>
  </si>
  <si>
    <t>AE</t>
  </si>
  <si>
    <t>C</t>
  </si>
  <si>
    <t>O</t>
  </si>
  <si>
    <t>V</t>
  </si>
  <si>
    <t>D</t>
  </si>
  <si>
    <t>B</t>
  </si>
  <si>
    <t>+</t>
  </si>
  <si>
    <t>-</t>
  </si>
  <si>
    <t xml:space="preserve">Nombre: </t>
  </si>
  <si>
    <t>Edad:</t>
  </si>
  <si>
    <t>Fecha:</t>
  </si>
  <si>
    <t>es bastante sociable</t>
  </si>
  <si>
    <t>le falta confianza en sí mismo (a)</t>
  </si>
  <si>
    <t>es perfeccionista con cualquier trabajo que realiza</t>
  </si>
  <si>
    <t>tiende a ser algo emocional</t>
  </si>
  <si>
    <t>no le interesa estar con otras personas</t>
  </si>
  <si>
    <t>se siente libre de ansiedades y tensiones</t>
  </si>
  <si>
    <t>es una persona poco confiable</t>
  </si>
  <si>
    <t>toma la conducción de discusiones de grupo</t>
  </si>
  <si>
    <t>actúa de manera nerviosa e inestable</t>
  </si>
  <si>
    <t>tiene una gran influencia sobre los demás</t>
  </si>
  <si>
    <t>no le gustan las reuniones sociales</t>
  </si>
  <si>
    <t>es un(a) trabajador(a) muy persistente y formal</t>
  </si>
  <si>
    <t>se le facilita hacer nuevas amistades</t>
  </si>
  <si>
    <t>no puede realizar la misma tarea por mucho tiempo</t>
  </si>
  <si>
    <t>es fácilmente manejado(a) por los demás</t>
  </si>
  <si>
    <t>mantiene el autocontrol aún si está frustrado(a)</t>
  </si>
  <si>
    <t>es capaz de tomar decisiones importantes sin ayuda</t>
  </si>
  <si>
    <t>no se relaciona fácilmente con gente desconocida</t>
  </si>
  <si>
    <t>tiende a sentirse tenso(a) o muy presionado(a)</t>
  </si>
  <si>
    <t>concluye su trabajo a pesar de los problemas</t>
  </si>
  <si>
    <t>no le interesa mucho ser sociable</t>
  </si>
  <si>
    <t>no toma en serio sus responsabilidades</t>
  </si>
  <si>
    <t>se mantiene estable y sereno(a)</t>
  </si>
  <si>
    <t>toma el mando en actividades de grupo</t>
  </si>
  <si>
    <t>es una persona en quien se puede confiar</t>
  </si>
  <si>
    <t>se disgusta fácilmente cuando las cosas van mal</t>
  </si>
  <si>
    <t>no se siente muy seguro(a) de sus propias opiniones</t>
  </si>
  <si>
    <t>prefiere estar cerca de la gente</t>
  </si>
  <si>
    <t>le resulta fácil influir en los demás</t>
  </si>
  <si>
    <t>termina sus trabajos a pesar de los obstáculos</t>
  </si>
  <si>
    <t>limita sus relaciones sociales a unos cuantos</t>
  </si>
  <si>
    <t>tiende a ser una persona más bien nerviosa</t>
  </si>
  <si>
    <t>no hace amigos fácilmente</t>
  </si>
  <si>
    <t>toma parte activa en los asuntos de grupo</t>
  </si>
  <si>
    <t>persiste en tareas rutinarias hasta concluirlas</t>
  </si>
  <si>
    <t>no se encuentra emocionalmente equilibrado(a)</t>
  </si>
  <si>
    <t>se siente seguro(a) en sus relaciones con los demás</t>
  </si>
  <si>
    <t>sus sentimientos son heridos fácilmente</t>
  </si>
  <si>
    <t>tiene hábitos de trabajo bien desarrollados</t>
  </si>
  <si>
    <t>prefiere conservar un grupo pequeño de amigos</t>
  </si>
  <si>
    <t>se irrita con facilidad</t>
  </si>
  <si>
    <t>es capaz de manejar cualquier situación</t>
  </si>
  <si>
    <t>no le gusta conversar con extraños</t>
  </si>
  <si>
    <t>es perfeccionista en el trabajo que realiza</t>
  </si>
  <si>
    <t>prefiere no discutir con los demás</t>
  </si>
  <si>
    <t>es incapaz de mantener un horario fijo</t>
  </si>
  <si>
    <t>es una persona tranquila y serena</t>
  </si>
  <si>
    <t>tiende a ser muy sociable</t>
  </si>
  <si>
    <t>se siente libre de inquietudes y preocupaciones</t>
  </si>
  <si>
    <t>le falta sentido de responsabilidad</t>
  </si>
  <si>
    <t>no le interesa relacionarse con el sexo opuesto</t>
  </si>
  <si>
    <t>es hábil para tratar a otras personas</t>
  </si>
  <si>
    <t>le resulta fácil ser amistoso(a)</t>
  </si>
  <si>
    <t>prefiere que otros dirijan las actividades de grupo</t>
  </si>
  <si>
    <t>parece estar siempre preocupado(a)</t>
  </si>
  <si>
    <t>perservera en un trabajo a pesar de los problemas</t>
  </si>
  <si>
    <t>es capaz de cambiar las opiniones de otros</t>
  </si>
  <si>
    <t>no le interesa unirse a actividades grupales</t>
  </si>
  <si>
    <t>es una persona muy nerviosa</t>
  </si>
  <si>
    <t>es muy persistente en el trabajo que realiza</t>
  </si>
  <si>
    <t>es calmado(a) y fácil de tratar</t>
  </si>
  <si>
    <t>no puede perseverar en el trabajo que realiza</t>
  </si>
  <si>
    <t>disfruta rodeándose de mucha gente</t>
  </si>
  <si>
    <t>no confía mucho en sus propias habilidades</t>
  </si>
  <si>
    <t>es una persona totalmente confiable</t>
  </si>
  <si>
    <t>no le interesa la compañía de la mayoría de la gente</t>
  </si>
  <si>
    <t>le resulta difícil relajarse</t>
  </si>
  <si>
    <t>toma parte activa en las discusiones de grupo</t>
  </si>
  <si>
    <t>nose deja vencer fácilmente</t>
  </si>
  <si>
    <t>tiende a ser algo nervioso(a)</t>
  </si>
  <si>
    <t>carece de seguridad en sí mismo(a)</t>
  </si>
  <si>
    <t>prefiere pasar el tiempo en compañía de otros</t>
  </si>
  <si>
    <t>tiene ideas muy originales</t>
  </si>
  <si>
    <t>es una persona un poco lenta y despreocupada</t>
  </si>
  <si>
    <t>tiende a criticar a los demás</t>
  </si>
  <si>
    <t>piensa mucho antes de tomar decisiones</t>
  </si>
  <si>
    <t>cree que toda la gente es esencialmente honesta</t>
  </si>
  <si>
    <t>le gusta tomar con calma el trabajo o el juego</t>
  </si>
  <si>
    <t>tiene una actitud muy inquisitiva</t>
  </si>
  <si>
    <t>tiende a actuar impulsivamente</t>
  </si>
  <si>
    <t>es una persona muy activa</t>
  </si>
  <si>
    <t>no se enoja con los demás</t>
  </si>
  <si>
    <t>le disgusta trabajar con problemas complejos y difíciles</t>
  </si>
  <si>
    <t>prefiere fiestas animadas a reuniones tranquilas</t>
  </si>
  <si>
    <t>disfruta las discusiones filosóficas</t>
  </si>
  <si>
    <t>se cansa fácilmente</t>
  </si>
  <si>
    <t>piensa las cosas con mucho cuidado antes de actuar</t>
  </si>
  <si>
    <t>no confía mucho en la gente</t>
  </si>
  <si>
    <t>le gusta trabajar principalmente con ideas</t>
  </si>
  <si>
    <t>sigue un ritmo lento al realizar sus acciones</t>
  </si>
  <si>
    <t>es muy cuidadoso(a) al tomar una decisión</t>
  </si>
  <si>
    <t>le es difícil llevarse bien con algunas personas</t>
  </si>
  <si>
    <t>se distingue por arriesgarse</t>
  </si>
  <si>
    <t>se irrita fácilmente con los demás</t>
  </si>
  <si>
    <t>puede hacer poco en mucho tiempo</t>
  </si>
  <si>
    <t>emplea bastante tiempo pensando en nuevas ideas</t>
  </si>
  <si>
    <t>es una persona muy paciente</t>
  </si>
  <si>
    <t>busca lo emocionante y excitante</t>
  </si>
  <si>
    <t>es capaz de trabajar durante largos lapsos</t>
  </si>
  <si>
    <t>prefiere poner en práctica un proyecto que planearlo</t>
  </si>
  <si>
    <t>se siente cansado(a) y fastidiado(a) al final de un día</t>
  </si>
  <si>
    <t>tiende a hacer juicios apresurados</t>
  </si>
  <si>
    <t>no muestra resentimiento hacia los demás</t>
  </si>
  <si>
    <t>tiene una gran sed de conocimientos</t>
  </si>
  <si>
    <t>no actúa impulsivamente</t>
  </si>
  <si>
    <t>se irrita con los errores de los demás</t>
  </si>
  <si>
    <t>carece de interés para pensar de manera crítica</t>
  </si>
  <si>
    <t>prefiere trabajar rápidamente</t>
  </si>
  <si>
    <t>tiende a disgustarse mucho con la gente</t>
  </si>
  <si>
    <t>le gusta estar siempre activo(a)</t>
  </si>
  <si>
    <t>preferiría no correr riesgos</t>
  </si>
  <si>
    <t>prefiere el trabajo que requiere pocas ideas originales</t>
  </si>
  <si>
    <t>es una persona muy cautelosa</t>
  </si>
  <si>
    <t>prefiere trabajar despacio</t>
  </si>
  <si>
    <t>es muy diplomático(a) y discreto(a)</t>
  </si>
  <si>
    <t>prefiere no ocupar su mente en pensamientos profundos</t>
  </si>
  <si>
    <t>pierde la paciencia con los demás rápidamente</t>
  </si>
  <si>
    <t>tiene menos resistencia que la mayoría de la gente</t>
  </si>
  <si>
    <t>tiende a ser creativo(a) y original</t>
  </si>
  <si>
    <t>no le interesa mucho lo emocionante</t>
  </si>
  <si>
    <t>tiende a actuar siguiendo sus presentimientos</t>
  </si>
  <si>
    <t>tiene un gran vigor y dinamismo</t>
  </si>
  <si>
    <t>no confía en los demás hasta que demuestren que son de fiar</t>
  </si>
  <si>
    <t>disfruta los problemas que requieren de bastante reflexión</t>
  </si>
  <si>
    <t>no le gusta trabajar rápidamente</t>
  </si>
  <si>
    <t>tiene mucha fe en la gente</t>
  </si>
  <si>
    <t>tiende a ceder al deseo del momento</t>
  </si>
  <si>
    <t>le agrada resolver problemas complicados</t>
  </si>
  <si>
    <t>es un(a) trabajador(a) muy activo(a)</t>
  </si>
  <si>
    <t>acepta la crítica con buen ánimo</t>
  </si>
  <si>
    <t>le disgustan los problemas que requieren mucho razonamiento</t>
  </si>
  <si>
    <t>tiende a actuar primero y pensar después</t>
  </si>
  <si>
    <t>no habla sino lo mejor sobre otras personas</t>
  </si>
  <si>
    <t>es muy cauteloso(a) antes de actuar</t>
  </si>
  <si>
    <t>no le interesan las discusiones que inciten a pensar</t>
  </si>
  <si>
    <t>no se apresura yendo de un lugar a otro</t>
  </si>
  <si>
    <t>no tiene una mente inquisitiva</t>
  </si>
  <si>
    <t>generalmente está desbordante de energía</t>
  </si>
  <si>
    <t>se irrita fácilmente por las debilidades de los demás</t>
  </si>
  <si>
    <t>puede realizar más cosas que otras personas</t>
  </si>
  <si>
    <t>le gusta correr riesgos sólo por la emoción de hacerlo</t>
  </si>
  <si>
    <t>se ofende cuando es criticado(a)</t>
  </si>
  <si>
    <t>prefiere trabajar con ideas que con cosas</t>
  </si>
  <si>
    <t>confía mucho en las personas</t>
  </si>
  <si>
    <t>prefiere desempeñar un trabajo rutinario y simple</t>
  </si>
  <si>
    <t>actúa impulsivamente</t>
  </si>
  <si>
    <t>está lleno(a) de vigor y energía</t>
  </si>
  <si>
    <t>toma decisiones muy rápidamente</t>
  </si>
  <si>
    <t>le simpatiza toda la gente</t>
  </si>
  <si>
    <t>mantiene un ritmo vivaz en el trabajo o el juego</t>
  </si>
  <si>
    <t>no tiene un gran interés en adquirir conocimientos</t>
  </si>
  <si>
    <t>PARTE 4</t>
  </si>
  <si>
    <t>PARTE 3</t>
  </si>
  <si>
    <t>PARTE 2</t>
  </si>
  <si>
    <t>PARTE 1</t>
  </si>
  <si>
    <t>PC</t>
  </si>
  <si>
    <t>Escala Utilizada:</t>
  </si>
  <si>
    <t>Vigor</t>
  </si>
  <si>
    <t xml:space="preserve">Relaciones Interpersonales </t>
  </si>
  <si>
    <t>Originalidad</t>
  </si>
  <si>
    <t>Cautela</t>
  </si>
  <si>
    <t>.</t>
  </si>
  <si>
    <t>Autoestima</t>
  </si>
  <si>
    <t>Sociabilización</t>
  </si>
  <si>
    <t>Estabilidad Emocional</t>
  </si>
  <si>
    <t>Responsabilidad</t>
  </si>
  <si>
    <t>Ascendencia</t>
  </si>
  <si>
    <r>
      <rPr>
        <b/>
        <sz val="10"/>
        <rFont val="MS Sans Serif"/>
      </rPr>
      <t xml:space="preserve">INSTRUCCIONES: </t>
    </r>
    <r>
      <rPr>
        <sz val="11"/>
        <color theme="1"/>
        <rFont val="Calibri"/>
        <family val="2"/>
        <scheme val="minor"/>
      </rPr>
      <t>En este protocolo encontrará varias descripciones de características personales.  Dichas descripciones se agrupan en conjuntos de cuatro.  Usted debe examinar cada conjunto de 4 y elegir la descripción a la que usted más se parece.  Una vez escogida, márquela con el número 1 en la columna del signo +.  Después, examine las otras tres descripciones del grupo y elija aquella a la que usted menos se parece; entonces márquela con el número 1 en la columna del signo -.  No marque ninguna otra de las descripciones restantes.  Total de conjuntos:38</t>
    </r>
  </si>
  <si>
    <t xml:space="preserve">C - 14 </t>
  </si>
  <si>
    <t>PEDRO FRANCISCO VELAZQUEZ EHUAN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</si>
</sst>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0"/>
      <name val="MS Sans Serif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 applyProtection="1">
      <protection hidden="1"/>
    </xf>
    <xf numFmtId="0" fontId="0" fillId="2" borderId="2" xfId="0" applyFill="1" applyBorder="1" applyProtection="1">
      <protection hidden="1"/>
    </xf>
    <xf numFmtId="0" fontId="0" fillId="2" borderId="7" xfId="0" applyFill="1" applyBorder="1" applyProtection="1">
      <protection hidden="1"/>
    </xf>
    <xf numFmtId="0" fontId="0" fillId="2" borderId="8" xfId="0" applyFill="1" applyBorder="1" applyProtection="1">
      <protection hidden="1"/>
    </xf>
    <xf numFmtId="0" fontId="0" fillId="2" borderId="9" xfId="0" applyFill="1" applyBorder="1" applyProtection="1">
      <protection hidden="1"/>
    </xf>
    <xf numFmtId="0" fontId="0" fillId="2" borderId="0" xfId="0" applyFill="1"/>
    <xf numFmtId="0" fontId="0" fillId="2" borderId="2" xfId="0" applyFill="1" applyBorder="1"/>
    <xf numFmtId="0" fontId="0" fillId="2" borderId="12" xfId="0" applyFill="1" applyBorder="1"/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17" xfId="0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19" xfId="0" applyFill="1" applyBorder="1" applyProtection="1">
      <protection locked="0"/>
    </xf>
    <xf numFmtId="0" fontId="0" fillId="2" borderId="20" xfId="0" applyFill="1" applyBorder="1" applyProtection="1">
      <protection locked="0"/>
    </xf>
    <xf numFmtId="0" fontId="0" fillId="2" borderId="21" xfId="0" applyFill="1" applyBorder="1" applyProtection="1">
      <protection locked="0"/>
    </xf>
    <xf numFmtId="0" fontId="0" fillId="0" borderId="22" xfId="0" quotePrefix="1" applyBorder="1" applyAlignment="1">
      <alignment vertical="center" wrapText="1"/>
    </xf>
    <xf numFmtId="0" fontId="0" fillId="0" borderId="3" xfId="0" quotePrefix="1" applyBorder="1" applyAlignment="1">
      <alignment vertical="center" wrapText="1"/>
    </xf>
    <xf numFmtId="0" fontId="0" fillId="0" borderId="28" xfId="0" quotePrefix="1" applyBorder="1" applyAlignment="1">
      <alignment vertical="center" wrapText="1"/>
    </xf>
    <xf numFmtId="0" fontId="0" fillId="0" borderId="29" xfId="0" quotePrefix="1" applyBorder="1" applyAlignment="1">
      <alignment vertical="center" wrapText="1"/>
    </xf>
    <xf numFmtId="0" fontId="0" fillId="0" borderId="30" xfId="0" quotePrefix="1" applyBorder="1" applyAlignment="1">
      <alignment vertical="center" wrapText="1"/>
    </xf>
    <xf numFmtId="0" fontId="0" fillId="0" borderId="32" xfId="0" quotePrefix="1" applyBorder="1" applyAlignment="1">
      <alignment vertical="center" wrapText="1"/>
    </xf>
    <xf numFmtId="0" fontId="0" fillId="2" borderId="33" xfId="0" applyFill="1" applyBorder="1" applyProtection="1">
      <protection hidden="1"/>
    </xf>
    <xf numFmtId="0" fontId="0" fillId="2" borderId="34" xfId="0" applyFill="1" applyBorder="1" applyProtection="1">
      <protection hidden="1"/>
    </xf>
    <xf numFmtId="0" fontId="0" fillId="2" borderId="4" xfId="0" applyFill="1" applyBorder="1"/>
    <xf numFmtId="0" fontId="0" fillId="2" borderId="5" xfId="0" applyFill="1" applyBorder="1"/>
    <xf numFmtId="0" fontId="0" fillId="2" borderId="35" xfId="0" applyFill="1" applyBorder="1" applyProtection="1">
      <protection hidden="1"/>
    </xf>
    <xf numFmtId="0" fontId="0" fillId="2" borderId="36" xfId="0" applyFill="1" applyBorder="1" applyProtection="1">
      <protection hidden="1"/>
    </xf>
    <xf numFmtId="0" fontId="0" fillId="2" borderId="37" xfId="0" applyFill="1" applyBorder="1"/>
    <xf numFmtId="0" fontId="0" fillId="2" borderId="38" xfId="0" applyFill="1" applyBorder="1" applyProtection="1">
      <protection hidden="1"/>
    </xf>
    <xf numFmtId="0" fontId="0" fillId="2" borderId="39" xfId="0" applyFill="1" applyBorder="1" applyProtection="1">
      <protection hidden="1"/>
    </xf>
    <xf numFmtId="0" fontId="0" fillId="2" borderId="40" xfId="0" applyFill="1" applyBorder="1"/>
    <xf numFmtId="0" fontId="1" fillId="2" borderId="11" xfId="0" applyFont="1" applyFill="1" applyBorder="1" applyProtection="1">
      <protection hidden="1"/>
    </xf>
    <xf numFmtId="0" fontId="0" fillId="2" borderId="30" xfId="0" applyFill="1" applyBorder="1"/>
    <xf numFmtId="0" fontId="0" fillId="0" borderId="23" xfId="0" applyBorder="1"/>
    <xf numFmtId="1" fontId="0" fillId="0" borderId="24" xfId="0" applyNumberFormat="1" applyBorder="1"/>
    <xf numFmtId="1" fontId="0" fillId="0" borderId="12" xfId="0" applyNumberFormat="1" applyBorder="1"/>
    <xf numFmtId="0" fontId="0" fillId="0" borderId="6" xfId="0" applyBorder="1"/>
    <xf numFmtId="1" fontId="0" fillId="0" borderId="27" xfId="0" applyNumberFormat="1" applyBorder="1"/>
    <xf numFmtId="0" fontId="0" fillId="2" borderId="11" xfId="0" applyFill="1" applyBorder="1" applyProtection="1">
      <protection hidden="1"/>
    </xf>
    <xf numFmtId="0" fontId="0" fillId="0" borderId="11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 applyProtection="1">
      <alignment horizontal="center"/>
      <protection hidden="1"/>
    </xf>
    <xf numFmtId="0" fontId="0" fillId="2" borderId="25" xfId="0" applyFill="1" applyBorder="1" applyAlignment="1" applyProtection="1">
      <alignment horizontal="center"/>
      <protection hidden="1"/>
    </xf>
    <xf numFmtId="0" fontId="0" fillId="2" borderId="26" xfId="0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 w="9525" cap="flat" cmpd="sng" algn="ctr">
              <a:noFill/>
              <a:prstDash val="solid"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24E-4CCA-B3CC-FFD66F44A75E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4E-4CCA-B3CC-FFD66F44A75E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24E-4CCA-B3CC-FFD66F44A75E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4E-4CCA-B3CC-FFD66F44A75E}"/>
              </c:ext>
            </c:extLst>
          </c:dPt>
          <c:dPt>
            <c:idx val="5"/>
            <c:invertIfNegative val="0"/>
            <c:bubble3D val="0"/>
            <c:spPr>
              <a:solidFill>
                <a:srgbClr val="000000"/>
              </a:soli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4E-4CCA-B3CC-FFD66F44A75E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24E-4CCA-B3CC-FFD66F44A75E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4E-4CCA-B3CC-FFD66F44A75E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flat" cmpd="sng" algn="ctr">
                <a:noFill/>
                <a:prstDash val="solid"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A24E-4CCA-B3CC-FFD66F44A7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CALIFICACIÓN!$A$3:$B$13</c:f>
              <c:multiLvlStrCache>
                <c:ptCount val="11"/>
                <c:lvl>
                  <c:pt idx="0">
                    <c:v>Vigor</c:v>
                  </c:pt>
                  <c:pt idx="1">
                    <c:v>Relaciones Interpersonales </c:v>
                  </c:pt>
                  <c:pt idx="2">
                    <c:v>Originalidad</c:v>
                  </c:pt>
                  <c:pt idx="3">
                    <c:v>Cautela</c:v>
                  </c:pt>
                  <c:pt idx="5">
                    <c:v>Autoestima</c:v>
                  </c:pt>
                  <c:pt idx="7">
                    <c:v>Sociabilización</c:v>
                  </c:pt>
                  <c:pt idx="8">
                    <c:v>Estabilidad Emocional</c:v>
                  </c:pt>
                  <c:pt idx="9">
                    <c:v>Responsabilidad</c:v>
                  </c:pt>
                  <c:pt idx="10">
                    <c:v>Ascendencia</c:v>
                  </c:pt>
                </c:lvl>
                <c:lvl>
                  <c:pt idx="0">
                    <c:v>IPG</c:v>
                  </c:pt>
                  <c:pt idx="4">
                    <c:v>.</c:v>
                  </c:pt>
                  <c:pt idx="7">
                    <c:v>PPG</c:v>
                  </c:pt>
                </c:lvl>
              </c:multiLvlStrCache>
            </c:multiLvlStrRef>
          </c:cat>
          <c:val>
            <c:numRef>
              <c:f>CALIFICACIÓN!$C$3:$C$13</c:f>
              <c:numCache>
                <c:formatCode>0</c:formatCode>
                <c:ptCount val="11"/>
                <c:pt idx="0">
                  <c:v>38</c:v>
                </c:pt>
                <c:pt idx="1">
                  <c:v>69</c:v>
                </c:pt>
                <c:pt idx="2">
                  <c:v>91</c:v>
                </c:pt>
                <c:pt idx="3">
                  <c:v>54</c:v>
                </c:pt>
                <c:pt idx="5">
                  <c:v>94</c:v>
                </c:pt>
                <c:pt idx="7">
                  <c:v>45</c:v>
                </c:pt>
                <c:pt idx="8">
                  <c:v>84</c:v>
                </c:pt>
                <c:pt idx="9">
                  <c:v>71</c:v>
                </c:pt>
                <c:pt idx="10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2-4D25-9F58-AFE85AAB02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3628168"/>
        <c:axId val="363629480"/>
      </c:barChart>
      <c:catAx>
        <c:axId val="363628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629480"/>
        <c:crosses val="autoZero"/>
        <c:auto val="1"/>
        <c:lblAlgn val="ctr"/>
        <c:lblOffset val="100"/>
        <c:noMultiLvlLbl val="0"/>
      </c:catAx>
      <c:valAx>
        <c:axId val="36362948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63628168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713689</xdr:colOff>
      <xdr:row>4</xdr:row>
      <xdr:rowOff>40136</xdr:rowOff>
    </xdr:from>
    <xdr:to>
      <xdr:col>13</xdr:col>
      <xdr:colOff>89802</xdr:colOff>
      <xdr:row>18</xdr:row>
      <xdr:rowOff>116336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49E924B-4D9C-4838-8A5D-647C5946F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526837</xdr:colOff>
      <xdr:row>18</xdr:row>
      <xdr:rowOff>165607</xdr:rowOff>
    </xdr:from>
    <xdr:ext cx="420308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3615DF5-AFD6-4AB7-AEEC-9974DA682C79}"/>
            </a:ext>
          </a:extLst>
        </xdr:cNvPr>
        <xdr:cNvSpPr txBox="1"/>
      </xdr:nvSpPr>
      <xdr:spPr>
        <a:xfrm>
          <a:off x="9861337" y="3594607"/>
          <a:ext cx="4203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Alto</a:t>
          </a:r>
        </a:p>
      </xdr:txBody>
    </xdr:sp>
    <xdr:clientData/>
  </xdr:oneCellAnchor>
  <xdr:oneCellAnchor>
    <xdr:from>
      <xdr:col>10</xdr:col>
      <xdr:colOff>201866</xdr:colOff>
      <xdr:row>18</xdr:row>
      <xdr:rowOff>156082</xdr:rowOff>
    </xdr:from>
    <xdr:ext cx="560666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21CF724-DE7D-45BA-BEC6-3578BF8CD88E}"/>
            </a:ext>
          </a:extLst>
        </xdr:cNvPr>
        <xdr:cNvSpPr txBox="1"/>
      </xdr:nvSpPr>
      <xdr:spPr>
        <a:xfrm>
          <a:off x="8774366" y="3585082"/>
          <a:ext cx="5606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P. Alto</a:t>
          </a:r>
        </a:p>
      </xdr:txBody>
    </xdr:sp>
    <xdr:clientData/>
  </xdr:oneCellAnchor>
  <xdr:oneCellAnchor>
    <xdr:from>
      <xdr:col>7</xdr:col>
      <xdr:colOff>669152</xdr:colOff>
      <xdr:row>18</xdr:row>
      <xdr:rowOff>122465</xdr:rowOff>
    </xdr:from>
    <xdr:ext cx="577466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CB0C914-82BC-4531-9376-6F7344EDD226}"/>
            </a:ext>
          </a:extLst>
        </xdr:cNvPr>
        <xdr:cNvSpPr txBox="1"/>
      </xdr:nvSpPr>
      <xdr:spPr>
        <a:xfrm>
          <a:off x="6955652" y="3551465"/>
          <a:ext cx="57746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P. Bajo</a:t>
          </a:r>
        </a:p>
      </xdr:txBody>
    </xdr:sp>
    <xdr:clientData/>
  </xdr:oneCellAnchor>
  <xdr:oneCellAnchor>
    <xdr:from>
      <xdr:col>6</xdr:col>
      <xdr:colOff>585108</xdr:colOff>
      <xdr:row>18</xdr:row>
      <xdr:rowOff>133670</xdr:rowOff>
    </xdr:from>
    <xdr:ext cx="437107" cy="264560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B681B39F-383C-49DF-A345-A689FC93C54D}"/>
            </a:ext>
          </a:extLst>
        </xdr:cNvPr>
        <xdr:cNvSpPr txBox="1"/>
      </xdr:nvSpPr>
      <xdr:spPr>
        <a:xfrm>
          <a:off x="6109608" y="3562670"/>
          <a:ext cx="43710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Bajo</a:t>
          </a:r>
        </a:p>
      </xdr:txBody>
    </xdr:sp>
    <xdr:clientData/>
  </xdr:oneCellAnchor>
  <xdr:oneCellAnchor>
    <xdr:from>
      <xdr:col>9</xdr:col>
      <xdr:colOff>12487</xdr:colOff>
      <xdr:row>18</xdr:row>
      <xdr:rowOff>156082</xdr:rowOff>
    </xdr:from>
    <xdr:ext cx="744884" cy="264560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94C9F32D-7622-4EF6-A597-2CD377FA0671}"/>
            </a:ext>
          </a:extLst>
        </xdr:cNvPr>
        <xdr:cNvSpPr txBox="1"/>
      </xdr:nvSpPr>
      <xdr:spPr>
        <a:xfrm>
          <a:off x="7822987" y="3585082"/>
          <a:ext cx="7448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/>
            <a:t>Promedio</a:t>
          </a:r>
        </a:p>
      </xdr:txBody>
    </xdr:sp>
    <xdr:clientData/>
  </xdr:oneCellAnchor>
  <xdr:twoCellAnchor>
    <xdr:from>
      <xdr:col>7</xdr:col>
      <xdr:colOff>638176</xdr:colOff>
      <xdr:row>4</xdr:row>
      <xdr:rowOff>160735</xdr:rowOff>
    </xdr:from>
    <xdr:to>
      <xdr:col>7</xdr:col>
      <xdr:colOff>648890</xdr:colOff>
      <xdr:row>17</xdr:row>
      <xdr:rowOff>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F16D78E6-4751-42EF-AE03-46CD5EA5A4F0}"/>
            </a:ext>
          </a:extLst>
        </xdr:cNvPr>
        <xdr:cNvCxnSpPr/>
      </xdr:nvCxnSpPr>
      <xdr:spPr>
        <a:xfrm flipV="1">
          <a:off x="7055645" y="934641"/>
          <a:ext cx="10714" cy="2351484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634674</xdr:colOff>
      <xdr:row>4</xdr:row>
      <xdr:rowOff>161435</xdr:rowOff>
    </xdr:from>
    <xdr:to>
      <xdr:col>7</xdr:col>
      <xdr:colOff>645388</xdr:colOff>
      <xdr:row>17</xdr:row>
      <xdr:rowOff>700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6C30EBF-9523-40EF-B90E-19FD56DEFC33}"/>
            </a:ext>
          </a:extLst>
        </xdr:cNvPr>
        <xdr:cNvCxnSpPr/>
      </xdr:nvCxnSpPr>
      <xdr:spPr>
        <a:xfrm flipV="1">
          <a:off x="7055645" y="934641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383663</xdr:colOff>
      <xdr:row>4</xdr:row>
      <xdr:rowOff>156952</xdr:rowOff>
    </xdr:from>
    <xdr:to>
      <xdr:col>9</xdr:col>
      <xdr:colOff>394377</xdr:colOff>
      <xdr:row>16</xdr:row>
      <xdr:rowOff>186717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1D7317AD-FEFA-4EA2-B66F-AADF28996A8D}"/>
            </a:ext>
          </a:extLst>
        </xdr:cNvPr>
        <xdr:cNvCxnSpPr/>
      </xdr:nvCxnSpPr>
      <xdr:spPr>
        <a:xfrm flipV="1">
          <a:off x="8328634" y="930158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132651</xdr:colOff>
      <xdr:row>4</xdr:row>
      <xdr:rowOff>141263</xdr:rowOff>
    </xdr:from>
    <xdr:to>
      <xdr:col>11</xdr:col>
      <xdr:colOff>143365</xdr:colOff>
      <xdr:row>16</xdr:row>
      <xdr:rowOff>171028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A5D74558-5BCE-472F-B143-5D5191EF38AC}"/>
            </a:ext>
          </a:extLst>
        </xdr:cNvPr>
        <xdr:cNvCxnSpPr/>
      </xdr:nvCxnSpPr>
      <xdr:spPr>
        <a:xfrm flipV="1">
          <a:off x="9601622" y="914469"/>
          <a:ext cx="10714" cy="2349383"/>
        </a:xfrm>
        <a:prstGeom prst="line">
          <a:avLst/>
        </a:prstGeom>
        <a:ln>
          <a:prstDash val="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W46"/>
  <sheetViews>
    <sheetView tabSelected="1" topLeftCell="A4" zoomScale="55" zoomScaleNormal="55" workbookViewId="0">
      <selection activeCell="Q24" sqref="Q24"/>
    </sheetView>
  </sheetViews>
  <sheetFormatPr baseColWidth="10" defaultColWidth="11.453125" defaultRowHeight="14.5" x14ac:dyDescent="0.35"/>
  <cols>
    <col min="1" max="1" width="60.1796875" style="6" customWidth="1"/>
    <col min="2" max="3" width="2.453125" style="6" customWidth="1"/>
    <col min="4" max="4" width="52.453125" style="6" bestFit="1" customWidth="1"/>
    <col min="5" max="6" width="2.453125" style="6" customWidth="1"/>
    <col min="7" max="7" width="50.54296875" style="6" bestFit="1" customWidth="1"/>
    <col min="8" max="9" width="2.453125" style="6" customWidth="1"/>
    <col min="10" max="10" width="51" style="6" bestFit="1" customWidth="1"/>
    <col min="11" max="12" width="2.453125" style="6" customWidth="1"/>
    <col min="13" max="13" width="11.453125" style="6" customWidth="1"/>
    <col min="14" max="23" width="5.26953125" style="6" customWidth="1"/>
    <col min="24" max="16384" width="11.453125" style="6"/>
  </cols>
  <sheetData>
    <row r="1" spans="1:23" x14ac:dyDescent="0.35">
      <c r="A1" s="6" t="s">
        <v>16</v>
      </c>
    </row>
    <row r="2" spans="1:23" x14ac:dyDescent="0.35">
      <c r="A2" s="6" t="s">
        <v>17</v>
      </c>
    </row>
    <row r="3" spans="1:23" x14ac:dyDescent="0.35">
      <c r="A3" s="6" t="s">
        <v>18</v>
      </c>
    </row>
    <row r="4" spans="1:23" ht="72.75" customHeight="1" thickBot="1" x14ac:dyDescent="0.4">
      <c r="A4" s="53" t="s">
        <v>186</v>
      </c>
      <c r="B4" s="53"/>
      <c r="C4" s="53"/>
      <c r="D4" s="53"/>
      <c r="E4" s="53"/>
      <c r="F4" s="53"/>
      <c r="G4" s="53"/>
      <c r="H4" s="53"/>
      <c r="I4" s="53"/>
      <c r="J4" s="53"/>
    </row>
    <row r="5" spans="1:23" x14ac:dyDescent="0.35">
      <c r="A5" s="54" t="s">
        <v>170</v>
      </c>
      <c r="B5" s="56" t="s">
        <v>12</v>
      </c>
      <c r="C5" s="57"/>
      <c r="D5" s="54" t="s">
        <v>171</v>
      </c>
      <c r="E5" s="56" t="s">
        <v>9</v>
      </c>
      <c r="F5" s="57"/>
      <c r="G5" s="54" t="s">
        <v>172</v>
      </c>
      <c r="H5" s="56" t="s">
        <v>13</v>
      </c>
      <c r="I5" s="57"/>
      <c r="J5" s="54" t="s">
        <v>173</v>
      </c>
      <c r="K5" s="56" t="s">
        <v>4</v>
      </c>
      <c r="L5" s="58"/>
    </row>
    <row r="6" spans="1:23" ht="15.75" customHeight="1" thickBot="1" x14ac:dyDescent="0.4">
      <c r="A6" s="55"/>
      <c r="B6" s="7" t="s">
        <v>14</v>
      </c>
      <c r="C6" s="6" t="s">
        <v>15</v>
      </c>
      <c r="D6" s="55"/>
      <c r="E6" s="7" t="s">
        <v>14</v>
      </c>
      <c r="F6" s="6" t="s">
        <v>15</v>
      </c>
      <c r="G6" s="55"/>
      <c r="H6" s="7" t="s">
        <v>14</v>
      </c>
      <c r="I6" s="6" t="s">
        <v>15</v>
      </c>
      <c r="J6" s="55"/>
      <c r="K6" s="7" t="s">
        <v>14</v>
      </c>
      <c r="L6" s="8" t="s">
        <v>15</v>
      </c>
    </row>
    <row r="7" spans="1:23" ht="17.25" customHeight="1" x14ac:dyDescent="0.35">
      <c r="A7" s="20" t="s">
        <v>131</v>
      </c>
      <c r="B7" s="9"/>
      <c r="C7" s="10"/>
      <c r="D7" s="20" t="s">
        <v>91</v>
      </c>
      <c r="E7" s="9">
        <v>1</v>
      </c>
      <c r="F7" s="10"/>
      <c r="G7" s="20" t="s">
        <v>55</v>
      </c>
      <c r="H7" s="9"/>
      <c r="I7" s="10"/>
      <c r="J7" s="20" t="s">
        <v>19</v>
      </c>
      <c r="K7" s="9"/>
      <c r="L7" s="15"/>
    </row>
    <row r="8" spans="1:23" ht="17.25" customHeight="1" thickBot="1" x14ac:dyDescent="0.4">
      <c r="A8" s="21" t="s">
        <v>132</v>
      </c>
      <c r="B8" s="11">
        <v>1</v>
      </c>
      <c r="C8" s="12"/>
      <c r="D8" s="21" t="s">
        <v>92</v>
      </c>
      <c r="E8" s="11"/>
      <c r="F8" s="12"/>
      <c r="G8" s="21" t="s">
        <v>56</v>
      </c>
      <c r="H8" s="11"/>
      <c r="I8" s="12">
        <v>1</v>
      </c>
      <c r="J8" s="21" t="s">
        <v>20</v>
      </c>
      <c r="K8" s="11"/>
      <c r="L8" s="16">
        <v>1</v>
      </c>
    </row>
    <row r="9" spans="1:23" ht="17.25" customHeight="1" thickBot="1" x14ac:dyDescent="0.4">
      <c r="A9" s="21" t="s">
        <v>133</v>
      </c>
      <c r="B9" s="11"/>
      <c r="C9" s="12">
        <v>1</v>
      </c>
      <c r="D9" s="21" t="s">
        <v>93</v>
      </c>
      <c r="E9" s="11"/>
      <c r="F9" s="12"/>
      <c r="G9" s="21" t="s">
        <v>57</v>
      </c>
      <c r="H9" s="11">
        <v>1</v>
      </c>
      <c r="I9" s="12"/>
      <c r="J9" s="21" t="s">
        <v>21</v>
      </c>
      <c r="K9" s="11">
        <v>1</v>
      </c>
      <c r="L9" s="16"/>
      <c r="N9" s="1"/>
      <c r="O9" s="59" t="s">
        <v>0</v>
      </c>
      <c r="P9" s="60"/>
      <c r="Q9" s="60"/>
      <c r="R9" s="60"/>
      <c r="S9" s="61"/>
      <c r="T9" s="59" t="s">
        <v>1</v>
      </c>
      <c r="U9" s="60"/>
      <c r="V9" s="60"/>
      <c r="W9" s="61"/>
    </row>
    <row r="10" spans="1:23" ht="17.25" customHeight="1" thickBot="1" x14ac:dyDescent="0.4">
      <c r="A10" s="22" t="s">
        <v>134</v>
      </c>
      <c r="B10" s="13"/>
      <c r="C10" s="14"/>
      <c r="D10" s="22" t="s">
        <v>94</v>
      </c>
      <c r="E10" s="13"/>
      <c r="F10" s="14">
        <v>1</v>
      </c>
      <c r="G10" s="22" t="s">
        <v>58</v>
      </c>
      <c r="H10" s="13"/>
      <c r="I10" s="14"/>
      <c r="J10" s="22" t="s">
        <v>22</v>
      </c>
      <c r="K10" s="13"/>
      <c r="L10" s="17"/>
      <c r="N10" s="2"/>
      <c r="O10" s="3" t="s">
        <v>4</v>
      </c>
      <c r="P10" s="4" t="s">
        <v>5</v>
      </c>
      <c r="Q10" s="4" t="s">
        <v>6</v>
      </c>
      <c r="R10" s="28" t="s">
        <v>7</v>
      </c>
      <c r="S10" s="34" t="s">
        <v>8</v>
      </c>
      <c r="T10" s="31" t="s">
        <v>9</v>
      </c>
      <c r="U10" s="4" t="s">
        <v>10</v>
      </c>
      <c r="V10" s="4" t="s">
        <v>3</v>
      </c>
      <c r="W10" s="5" t="s">
        <v>11</v>
      </c>
    </row>
    <row r="11" spans="1:23" ht="17.25" customHeight="1" x14ac:dyDescent="0.35">
      <c r="A11" s="20" t="s">
        <v>135</v>
      </c>
      <c r="B11" s="9"/>
      <c r="C11" s="10">
        <v>1</v>
      </c>
      <c r="D11" s="20" t="s">
        <v>95</v>
      </c>
      <c r="E11" s="9"/>
      <c r="F11" s="10"/>
      <c r="G11" s="20" t="s">
        <v>59</v>
      </c>
      <c r="H11" s="9"/>
      <c r="I11" s="10">
        <v>1</v>
      </c>
      <c r="J11" s="20" t="s">
        <v>23</v>
      </c>
      <c r="K11" s="9"/>
      <c r="L11" s="15"/>
      <c r="N11" s="41" t="s">
        <v>2</v>
      </c>
      <c r="O11" s="32">
        <f>H7+I8+I9+I10+K7+L8+K9+K10+I11+H12+I13+I14+L11+L12+L13+K14+I15+H16+H17+H18+L15+K16+L17+L18+I19+I20+I21+H22+K19+I20+I21+L21+K22+H23+I24+H25+H26+K23+L24+L25+L26+H27+I28+I29+I30+L27+L28+L29+K30+H31+H32+H33+I34+K31+K32+L33+K34+I35+I136+I37+H38+K35+L36+L37+L38+H39+H40+I41+H42+L39+K40+L41+L42</f>
        <v>29</v>
      </c>
      <c r="P11" s="24">
        <f>I7+I8+H9+I10+L7+L8+K9+L10+H11+H12+H13+I14+K11+K12+L13+K14+H15+I16+H17+H18+L15+L16+L17+K18+H19+I20+H21+H22+K19+L20+K21+K22+I23+I24+I25+H26+L23+L24+L25+K26+I27+I28+I29+H30+K27+L28+K29+K30+H31+I32+H33+H34+K31+L32+L33+L34+H35+I36+I37+I38+L35+K36+L37+L38+H39+I40+I41+I42+L39+L40+K41+L42</f>
        <v>29</v>
      </c>
      <c r="Q11" s="24">
        <f>H7+I8+H9+H10+K7+K8+K9+L10+I11+H12+H13+H14+L11+K12+L13+L14+L15+K16+K17+K18+I15+I16+H17+I18+H19+I20+I21+I22+L19+L20+L21+K22+H23+H24+I25+H26+K23+K24+L25+K26+H28+H27+I29+H30+L27+L28+K29+L30+H31+I32+I33+I34+K31+L32+K33+K34+H35+H36+I37+H38+K35+K36+K37+L38+H39+I40+H41+H42+K39+K40+K41+L42</f>
        <v>29</v>
      </c>
      <c r="R11" s="29">
        <f>H7+H8+H9+I10+K7+L8+L9+L10+H11+H12+I13+H14+L11+K12+K14+K13+I15+I16+I17+H18+K15+K16+L17+K18+H19+H20+I21+H22+K19+L20+L21+L22+H23+I24+I25+I26+K23+L24+K25+K26+H27+I28+H29+H30+L27+K28+K29+K30+I31+I32+H33+I34+L31+L32+L33+K34+H35+I36+H37+H38+K35+K36+L37+K38+I39+I40+I41+H42+L39+K40+K41+K42</f>
        <v>20</v>
      </c>
      <c r="S11" s="34">
        <f>O11+P11+Q11+R11</f>
        <v>107</v>
      </c>
      <c r="T11" s="32">
        <f>B7+C8+C9+C10+F7+F8+F9+E10+C11+C12+C13+B14+E11+E12+E13+F14+C15+B16+B17+B18+E15+E16+E17+F18+B19+B20+B21+C22+F19+F20+E21+F22+B23+B24+B25+C26+F23+F24+E25+F26+C27+B28+C29+C30+F27+E28+E29+E30+C31+B32+C33+C34+E31+F32+E33+E34+B35+C36+B37+B38+E35+F36+E37+E38+B39+B40+C41+B42+E39+F40+F41+F42+C43+B44+B45+B46+F43+F44+E45+F46</f>
        <v>24</v>
      </c>
      <c r="U11" s="24">
        <f>B7+B8+B9+C10+E7+F8+F9+F10+C11+C12+B13+C14+F11+F12+E13+F14+C15+C16+C17+B18+E15+E16+F17+E18+C19+C20+C21+B22+E19+F20+F21+F22+B23+B24+C25+B26+E23+F24+F25+F26+B27+B28+C29+B30+F27+F28+F29+E30+C31+B32+B33+B34+E31+E32+E33+F34+C35+C36+C37+B38+F35+F36+F37+E38+B39+C40+B41+B42+E39+E40+F41+E42+B43+B44+B45+C46+E43+E44+E45+F46</f>
        <v>32</v>
      </c>
      <c r="V11" s="24">
        <f>C7+C8+B9+C10+E7+E8+F9+E10+C11+B12+B13+B14+E11+F12+F13+F14+B15+B16+C16+C17+B18+F15+E16+F17+F18+C19+B20+C21+C22+E19+E20+E21+F22+C23+B24+C25+C26+E23+E24+E25+F26+B27+C28+C29+C30+E27+F28+E29+E30+B31+B32+B33+C34+E31+F32+F33+F34+B35+B36+C37+B38+F35+F36+E37+F38+B39+C40+C41+C42+E39+F40+E41+E42+C43+B44+C45+C46+F43+E44+E45+E46</f>
        <v>27</v>
      </c>
      <c r="W11" s="25">
        <f>B7+C8+B9+B10+E7+F8+E9+E10+B11+C12+B13+B14+E11+F12+E13+E14+C15+B16+C17+C18+E15+F16+F17+F18+C19+B20+B21+B22+E19+F20+E21+E22+B23+C24+C25+C26+E23+F24+E25+E26+B27+B28+B29+C30+F27+F28+E29+F30+C31+C32+B33+C34+F31+F32+E33+F34+B35+C36+C37+C38+F35+E36+E37+E38+C39+C40+C41+B42+F39+F40+F41+E42+C43+C44+B45+C46+F43+E44+F45+F46</f>
        <v>23</v>
      </c>
    </row>
    <row r="12" spans="1:23" ht="17.25" customHeight="1" thickBot="1" x14ac:dyDescent="0.4">
      <c r="A12" s="21" t="s">
        <v>136</v>
      </c>
      <c r="B12" s="11"/>
      <c r="C12" s="12"/>
      <c r="D12" s="21" t="s">
        <v>96</v>
      </c>
      <c r="E12" s="11">
        <v>1</v>
      </c>
      <c r="F12" s="12"/>
      <c r="G12" s="21" t="s">
        <v>60</v>
      </c>
      <c r="H12" s="11"/>
      <c r="I12" s="12"/>
      <c r="J12" s="21" t="s">
        <v>24</v>
      </c>
      <c r="K12" s="11"/>
      <c r="L12" s="16"/>
      <c r="N12" s="35" t="s">
        <v>174</v>
      </c>
      <c r="O12" s="33">
        <v>93</v>
      </c>
      <c r="P12" s="26">
        <v>71</v>
      </c>
      <c r="Q12" s="26">
        <v>84</v>
      </c>
      <c r="R12" s="30">
        <v>45</v>
      </c>
      <c r="S12" s="35">
        <v>94</v>
      </c>
      <c r="T12" s="33">
        <v>54</v>
      </c>
      <c r="U12" s="26">
        <v>91</v>
      </c>
      <c r="V12" s="26">
        <v>69</v>
      </c>
      <c r="W12" s="27">
        <v>38</v>
      </c>
    </row>
    <row r="13" spans="1:23" ht="17.25" customHeight="1" thickBot="1" x14ac:dyDescent="0.4">
      <c r="A13" s="21" t="s">
        <v>137</v>
      </c>
      <c r="B13" s="11">
        <v>1</v>
      </c>
      <c r="C13" s="12"/>
      <c r="D13" s="21" t="s">
        <v>97</v>
      </c>
      <c r="E13" s="11"/>
      <c r="F13" s="12">
        <v>1</v>
      </c>
      <c r="G13" s="21" t="s">
        <v>61</v>
      </c>
      <c r="H13" s="11"/>
      <c r="I13" s="12"/>
      <c r="J13" s="21" t="s">
        <v>25</v>
      </c>
      <c r="K13" s="11"/>
      <c r="L13" s="16">
        <v>1</v>
      </c>
    </row>
    <row r="14" spans="1:23" ht="17.25" customHeight="1" thickBot="1" x14ac:dyDescent="0.4">
      <c r="A14" s="22" t="s">
        <v>138</v>
      </c>
      <c r="B14" s="13"/>
      <c r="C14" s="14"/>
      <c r="D14" s="22" t="s">
        <v>98</v>
      </c>
      <c r="E14" s="13"/>
      <c r="F14" s="14"/>
      <c r="G14" s="22" t="s">
        <v>62</v>
      </c>
      <c r="H14" s="13">
        <v>1</v>
      </c>
      <c r="I14" s="14"/>
      <c r="J14" s="22" t="s">
        <v>26</v>
      </c>
      <c r="K14" s="13">
        <v>1</v>
      </c>
      <c r="L14" s="17"/>
      <c r="N14" s="50" t="s">
        <v>175</v>
      </c>
      <c r="O14" s="51"/>
      <c r="P14" s="51"/>
      <c r="Q14" s="51"/>
      <c r="R14" s="52"/>
      <c r="S14" s="50" t="s">
        <v>187</v>
      </c>
      <c r="T14" s="51"/>
      <c r="U14" s="51"/>
      <c r="V14" s="51"/>
      <c r="W14" s="52"/>
    </row>
    <row r="15" spans="1:23" ht="17.25" customHeight="1" x14ac:dyDescent="0.35">
      <c r="A15" s="20" t="s">
        <v>139</v>
      </c>
      <c r="B15" s="9"/>
      <c r="C15" s="10">
        <v>1</v>
      </c>
      <c r="D15" s="20" t="s">
        <v>99</v>
      </c>
      <c r="E15" s="9">
        <v>1</v>
      </c>
      <c r="F15" s="10"/>
      <c r="G15" s="20" t="s">
        <v>63</v>
      </c>
      <c r="H15" s="9"/>
      <c r="I15" s="10"/>
      <c r="J15" s="20" t="s">
        <v>27</v>
      </c>
      <c r="K15" s="9"/>
      <c r="L15" s="15">
        <v>1</v>
      </c>
    </row>
    <row r="16" spans="1:23" ht="17.25" customHeight="1" x14ac:dyDescent="0.35">
      <c r="A16" s="21" t="s">
        <v>140</v>
      </c>
      <c r="B16" s="11"/>
      <c r="C16" s="12"/>
      <c r="D16" s="21" t="s">
        <v>100</v>
      </c>
      <c r="E16" s="11"/>
      <c r="F16" s="12"/>
      <c r="G16" s="21" t="s">
        <v>64</v>
      </c>
      <c r="H16" s="11"/>
      <c r="I16" s="12">
        <v>1</v>
      </c>
      <c r="J16" s="21" t="s">
        <v>28</v>
      </c>
      <c r="K16" s="11">
        <v>1</v>
      </c>
      <c r="L16" s="16"/>
    </row>
    <row r="17" spans="1:12" ht="17.25" customHeight="1" x14ac:dyDescent="0.35">
      <c r="A17" s="21" t="s">
        <v>141</v>
      </c>
      <c r="B17" s="11"/>
      <c r="C17" s="12"/>
      <c r="D17" s="21" t="s">
        <v>101</v>
      </c>
      <c r="E17" s="11"/>
      <c r="F17" s="12"/>
      <c r="G17" s="21" t="s">
        <v>65</v>
      </c>
      <c r="H17" s="11">
        <v>1</v>
      </c>
      <c r="I17" s="12"/>
      <c r="J17" s="21" t="s">
        <v>29</v>
      </c>
      <c r="K17" s="11"/>
      <c r="L17" s="16"/>
    </row>
    <row r="18" spans="1:12" ht="17.25" customHeight="1" thickBot="1" x14ac:dyDescent="0.4">
      <c r="A18" s="22" t="s">
        <v>142</v>
      </c>
      <c r="B18" s="13">
        <v>1</v>
      </c>
      <c r="C18" s="14"/>
      <c r="D18" s="22" t="s">
        <v>102</v>
      </c>
      <c r="E18" s="13"/>
      <c r="F18" s="14">
        <v>1</v>
      </c>
      <c r="G18" s="22" t="s">
        <v>66</v>
      </c>
      <c r="H18" s="13"/>
      <c r="I18" s="14"/>
      <c r="J18" s="22" t="s">
        <v>30</v>
      </c>
      <c r="K18" s="13"/>
      <c r="L18" s="17"/>
    </row>
    <row r="19" spans="1:12" ht="17.25" customHeight="1" x14ac:dyDescent="0.35">
      <c r="A19" s="20" t="s">
        <v>143</v>
      </c>
      <c r="B19" s="9"/>
      <c r="C19" s="10"/>
      <c r="D19" s="20" t="s">
        <v>103</v>
      </c>
      <c r="E19" s="9"/>
      <c r="F19" s="10"/>
      <c r="G19" s="20" t="s">
        <v>67</v>
      </c>
      <c r="H19" s="9"/>
      <c r="I19" s="10"/>
      <c r="J19" s="20" t="s">
        <v>31</v>
      </c>
      <c r="K19" s="9"/>
      <c r="L19" s="15"/>
    </row>
    <row r="20" spans="1:12" ht="17.25" customHeight="1" x14ac:dyDescent="0.35">
      <c r="A20" s="21" t="s">
        <v>144</v>
      </c>
      <c r="B20" s="11"/>
      <c r="C20" s="12"/>
      <c r="D20" s="21" t="s">
        <v>104</v>
      </c>
      <c r="E20" s="11"/>
      <c r="F20" s="12">
        <v>1</v>
      </c>
      <c r="G20" s="21" t="s">
        <v>68</v>
      </c>
      <c r="H20" s="11"/>
      <c r="I20" s="12">
        <v>1</v>
      </c>
      <c r="J20" s="21" t="s">
        <v>32</v>
      </c>
      <c r="K20" s="11"/>
      <c r="L20" s="16"/>
    </row>
    <row r="21" spans="1:12" ht="17.25" customHeight="1" x14ac:dyDescent="0.35">
      <c r="A21" s="21" t="s">
        <v>145</v>
      </c>
      <c r="B21" s="11"/>
      <c r="C21" s="12">
        <v>1</v>
      </c>
      <c r="D21" s="21" t="s">
        <v>105</v>
      </c>
      <c r="E21" s="11">
        <v>1</v>
      </c>
      <c r="F21" s="12"/>
      <c r="G21" s="21" t="s">
        <v>69</v>
      </c>
      <c r="H21" s="11"/>
      <c r="I21" s="12"/>
      <c r="J21" s="21" t="s">
        <v>33</v>
      </c>
      <c r="K21" s="11"/>
      <c r="L21" s="16">
        <v>1</v>
      </c>
    </row>
    <row r="22" spans="1:12" ht="17.25" customHeight="1" thickBot="1" x14ac:dyDescent="0.4">
      <c r="A22" s="22" t="s">
        <v>146</v>
      </c>
      <c r="B22" s="13">
        <v>1</v>
      </c>
      <c r="C22" s="14"/>
      <c r="D22" s="22" t="s">
        <v>106</v>
      </c>
      <c r="E22" s="13"/>
      <c r="F22" s="14"/>
      <c r="G22" s="22" t="s">
        <v>70</v>
      </c>
      <c r="H22" s="13">
        <v>1</v>
      </c>
      <c r="I22" s="14"/>
      <c r="J22" s="22" t="s">
        <v>34</v>
      </c>
      <c r="K22" s="13">
        <v>1</v>
      </c>
      <c r="L22" s="17"/>
    </row>
    <row r="23" spans="1:12" ht="17.25" customHeight="1" x14ac:dyDescent="0.35">
      <c r="A23" s="20" t="s">
        <v>147</v>
      </c>
      <c r="B23" s="9"/>
      <c r="C23" s="10"/>
      <c r="D23" s="20" t="s">
        <v>107</v>
      </c>
      <c r="E23" s="9">
        <v>1</v>
      </c>
      <c r="F23" s="10"/>
      <c r="G23" s="20" t="s">
        <v>71</v>
      </c>
      <c r="H23" s="9"/>
      <c r="I23" s="10"/>
      <c r="J23" s="20" t="s">
        <v>35</v>
      </c>
      <c r="K23" s="9"/>
      <c r="L23" s="15"/>
    </row>
    <row r="24" spans="1:12" ht="17.25" customHeight="1" x14ac:dyDescent="0.35">
      <c r="A24" s="21" t="s">
        <v>148</v>
      </c>
      <c r="B24" s="11">
        <v>1</v>
      </c>
      <c r="C24" s="12"/>
      <c r="D24" s="21" t="s">
        <v>108</v>
      </c>
      <c r="E24" s="11"/>
      <c r="F24" s="12"/>
      <c r="G24" s="21" t="s">
        <v>72</v>
      </c>
      <c r="H24" s="11"/>
      <c r="I24" s="12"/>
      <c r="J24" s="21" t="s">
        <v>36</v>
      </c>
      <c r="K24" s="11"/>
      <c r="L24" s="16">
        <v>1</v>
      </c>
    </row>
    <row r="25" spans="1:12" ht="17.25" customHeight="1" x14ac:dyDescent="0.35">
      <c r="A25" s="21" t="s">
        <v>149</v>
      </c>
      <c r="B25" s="11"/>
      <c r="C25" s="12">
        <v>1</v>
      </c>
      <c r="D25" s="21" t="s">
        <v>109</v>
      </c>
      <c r="E25" s="11"/>
      <c r="F25" s="12"/>
      <c r="G25" s="21" t="s">
        <v>73</v>
      </c>
      <c r="H25" s="11"/>
      <c r="I25" s="12">
        <v>1</v>
      </c>
      <c r="J25" s="21" t="s">
        <v>37</v>
      </c>
      <c r="K25" s="11"/>
      <c r="L25" s="16"/>
    </row>
    <row r="26" spans="1:12" ht="17.25" customHeight="1" thickBot="1" x14ac:dyDescent="0.4">
      <c r="A26" s="22" t="s">
        <v>150</v>
      </c>
      <c r="B26" s="13"/>
      <c r="C26" s="14"/>
      <c r="D26" s="22" t="s">
        <v>110</v>
      </c>
      <c r="E26" s="13"/>
      <c r="F26" s="14">
        <v>1</v>
      </c>
      <c r="G26" s="22" t="s">
        <v>74</v>
      </c>
      <c r="H26" s="13">
        <v>1</v>
      </c>
      <c r="I26" s="14"/>
      <c r="J26" s="22" t="s">
        <v>38</v>
      </c>
      <c r="K26" s="13">
        <v>1</v>
      </c>
      <c r="L26" s="17"/>
    </row>
    <row r="27" spans="1:12" ht="17.25" customHeight="1" x14ac:dyDescent="0.35">
      <c r="A27" s="19" t="s">
        <v>151</v>
      </c>
      <c r="B27" s="9"/>
      <c r="C27" s="10"/>
      <c r="D27" s="20" t="s">
        <v>111</v>
      </c>
      <c r="E27" s="9"/>
      <c r="F27" s="10"/>
      <c r="G27" s="20" t="s">
        <v>75</v>
      </c>
      <c r="H27" s="9">
        <v>1</v>
      </c>
      <c r="I27" s="10"/>
      <c r="J27" s="20" t="s">
        <v>39</v>
      </c>
      <c r="K27" s="9"/>
      <c r="L27" s="15"/>
    </row>
    <row r="28" spans="1:12" ht="17.25" customHeight="1" x14ac:dyDescent="0.35">
      <c r="A28" s="18" t="s">
        <v>152</v>
      </c>
      <c r="B28" s="11">
        <v>1</v>
      </c>
      <c r="C28" s="12"/>
      <c r="D28" s="21" t="s">
        <v>112</v>
      </c>
      <c r="E28" s="11"/>
      <c r="F28" s="12">
        <v>1</v>
      </c>
      <c r="G28" s="21" t="s">
        <v>76</v>
      </c>
      <c r="H28" s="11"/>
      <c r="I28" s="12"/>
      <c r="J28" s="21" t="s">
        <v>40</v>
      </c>
      <c r="K28" s="11"/>
      <c r="L28" s="16">
        <v>1</v>
      </c>
    </row>
    <row r="29" spans="1:12" ht="17.25" customHeight="1" x14ac:dyDescent="0.35">
      <c r="A29" s="18" t="s">
        <v>153</v>
      </c>
      <c r="B29" s="11"/>
      <c r="C29" s="12">
        <v>1</v>
      </c>
      <c r="D29" s="21" t="s">
        <v>113</v>
      </c>
      <c r="E29" s="11">
        <v>1</v>
      </c>
      <c r="F29" s="12"/>
      <c r="G29" s="21" t="s">
        <v>77</v>
      </c>
      <c r="H29" s="11"/>
      <c r="I29" s="12">
        <v>1</v>
      </c>
      <c r="J29" s="21" t="s">
        <v>41</v>
      </c>
      <c r="K29" s="11"/>
      <c r="L29" s="16"/>
    </row>
    <row r="30" spans="1:12" ht="17.25" customHeight="1" thickBot="1" x14ac:dyDescent="0.4">
      <c r="A30" s="23" t="s">
        <v>154</v>
      </c>
      <c r="B30" s="13"/>
      <c r="C30" s="14"/>
      <c r="D30" s="22" t="s">
        <v>114</v>
      </c>
      <c r="E30" s="13"/>
      <c r="F30" s="14"/>
      <c r="G30" s="22" t="s">
        <v>78</v>
      </c>
      <c r="H30" s="13"/>
      <c r="I30" s="14"/>
      <c r="J30" s="22" t="s">
        <v>42</v>
      </c>
      <c r="K30" s="13">
        <v>1</v>
      </c>
      <c r="L30" s="17"/>
    </row>
    <row r="31" spans="1:12" ht="17.25" customHeight="1" x14ac:dyDescent="0.35">
      <c r="A31" s="20" t="s">
        <v>155</v>
      </c>
      <c r="B31" s="9"/>
      <c r="C31" s="10"/>
      <c r="D31" s="20" t="s">
        <v>115</v>
      </c>
      <c r="E31" s="9">
        <v>1</v>
      </c>
      <c r="F31" s="10"/>
      <c r="G31" s="20" t="s">
        <v>79</v>
      </c>
      <c r="H31" s="9">
        <v>1</v>
      </c>
      <c r="I31" s="10"/>
      <c r="J31" s="20" t="s">
        <v>43</v>
      </c>
      <c r="K31" s="9">
        <v>1</v>
      </c>
      <c r="L31" s="15"/>
    </row>
    <row r="32" spans="1:12" ht="17.25" customHeight="1" x14ac:dyDescent="0.35">
      <c r="A32" s="21" t="s">
        <v>123</v>
      </c>
      <c r="B32" s="11"/>
      <c r="C32" s="12"/>
      <c r="D32" s="21" t="s">
        <v>116</v>
      </c>
      <c r="E32" s="11"/>
      <c r="F32" s="12"/>
      <c r="G32" s="21" t="s">
        <v>80</v>
      </c>
      <c r="H32" s="11"/>
      <c r="I32" s="12">
        <v>1</v>
      </c>
      <c r="J32" s="21" t="s">
        <v>44</v>
      </c>
      <c r="K32" s="11"/>
      <c r="L32" s="16">
        <v>1</v>
      </c>
    </row>
    <row r="33" spans="1:12" ht="17.25" customHeight="1" x14ac:dyDescent="0.35">
      <c r="A33" s="21" t="s">
        <v>156</v>
      </c>
      <c r="B33" s="11">
        <v>1</v>
      </c>
      <c r="C33" s="12"/>
      <c r="D33" s="21" t="s">
        <v>117</v>
      </c>
      <c r="E33" s="11"/>
      <c r="F33" s="12"/>
      <c r="G33" s="21" t="s">
        <v>81</v>
      </c>
      <c r="H33" s="11"/>
      <c r="I33" s="12"/>
      <c r="J33" s="21" t="s">
        <v>45</v>
      </c>
      <c r="K33" s="11"/>
      <c r="L33" s="16"/>
    </row>
    <row r="34" spans="1:12" ht="17.25" customHeight="1" thickBot="1" x14ac:dyDescent="0.4">
      <c r="A34" s="22" t="s">
        <v>157</v>
      </c>
      <c r="B34" s="13"/>
      <c r="C34" s="14">
        <v>1</v>
      </c>
      <c r="D34" s="22" t="s">
        <v>118</v>
      </c>
      <c r="E34" s="13"/>
      <c r="F34" s="14">
        <v>1</v>
      </c>
      <c r="G34" s="22" t="s">
        <v>82</v>
      </c>
      <c r="H34" s="13"/>
      <c r="I34" s="14"/>
      <c r="J34" s="22" t="s">
        <v>46</v>
      </c>
      <c r="K34" s="13"/>
      <c r="L34" s="17"/>
    </row>
    <row r="35" spans="1:12" ht="17.25" customHeight="1" x14ac:dyDescent="0.35">
      <c r="A35" s="20" t="s">
        <v>158</v>
      </c>
      <c r="B35" s="9"/>
      <c r="C35" s="10"/>
      <c r="D35" s="20" t="s">
        <v>119</v>
      </c>
      <c r="E35" s="9"/>
      <c r="F35" s="10"/>
      <c r="G35" s="20" t="s">
        <v>83</v>
      </c>
      <c r="H35" s="9">
        <v>1</v>
      </c>
      <c r="I35" s="10"/>
      <c r="J35" s="20" t="s">
        <v>47</v>
      </c>
      <c r="K35" s="9">
        <v>1</v>
      </c>
      <c r="L35" s="15"/>
    </row>
    <row r="36" spans="1:12" ht="17.25" customHeight="1" x14ac:dyDescent="0.35">
      <c r="A36" s="21" t="s">
        <v>159</v>
      </c>
      <c r="B36" s="11"/>
      <c r="C36" s="12">
        <v>1</v>
      </c>
      <c r="D36" s="21" t="s">
        <v>120</v>
      </c>
      <c r="E36" s="11"/>
      <c r="F36" s="12">
        <v>1</v>
      </c>
      <c r="G36" s="21" t="s">
        <v>84</v>
      </c>
      <c r="H36" s="11"/>
      <c r="I36" s="12"/>
      <c r="J36" s="21" t="s">
        <v>48</v>
      </c>
      <c r="K36" s="11"/>
      <c r="L36" s="16"/>
    </row>
    <row r="37" spans="1:12" ht="17.25" customHeight="1" x14ac:dyDescent="0.35">
      <c r="A37" s="21" t="s">
        <v>160</v>
      </c>
      <c r="B37" s="11"/>
      <c r="C37" s="12"/>
      <c r="D37" s="21" t="s">
        <v>121</v>
      </c>
      <c r="E37" s="11"/>
      <c r="F37" s="12"/>
      <c r="G37" s="21" t="s">
        <v>85</v>
      </c>
      <c r="H37" s="11"/>
      <c r="I37" s="12">
        <v>1</v>
      </c>
      <c r="J37" s="21" t="s">
        <v>49</v>
      </c>
      <c r="K37" s="11"/>
      <c r="L37" s="16">
        <v>1</v>
      </c>
    </row>
    <row r="38" spans="1:12" ht="17.25" customHeight="1" thickBot="1" x14ac:dyDescent="0.4">
      <c r="A38" s="22" t="s">
        <v>161</v>
      </c>
      <c r="B38" s="13">
        <v>1</v>
      </c>
      <c r="C38" s="14"/>
      <c r="D38" s="22" t="s">
        <v>122</v>
      </c>
      <c r="E38" s="13">
        <v>1</v>
      </c>
      <c r="F38" s="14"/>
      <c r="G38" s="22" t="s">
        <v>86</v>
      </c>
      <c r="H38" s="13"/>
      <c r="I38" s="14"/>
      <c r="J38" s="22" t="s">
        <v>50</v>
      </c>
      <c r="K38" s="13"/>
      <c r="L38" s="17"/>
    </row>
    <row r="39" spans="1:12" ht="17.25" customHeight="1" x14ac:dyDescent="0.35">
      <c r="A39" s="20" t="s">
        <v>162</v>
      </c>
      <c r="B39" s="9">
        <v>1</v>
      </c>
      <c r="C39" s="10"/>
      <c r="D39" s="20" t="s">
        <v>123</v>
      </c>
      <c r="E39" s="9">
        <v>1</v>
      </c>
      <c r="F39" s="10"/>
      <c r="G39" s="20" t="s">
        <v>87</v>
      </c>
      <c r="H39" s="9">
        <v>1</v>
      </c>
      <c r="I39" s="15"/>
      <c r="J39" s="20" t="s">
        <v>51</v>
      </c>
      <c r="K39" s="9"/>
      <c r="L39" s="15"/>
    </row>
    <row r="40" spans="1:12" ht="17.25" customHeight="1" x14ac:dyDescent="0.35">
      <c r="A40" s="21" t="s">
        <v>163</v>
      </c>
      <c r="B40" s="11"/>
      <c r="C40" s="12">
        <v>1</v>
      </c>
      <c r="D40" s="21" t="s">
        <v>124</v>
      </c>
      <c r="E40" s="11"/>
      <c r="F40" s="12">
        <v>1</v>
      </c>
      <c r="G40" s="21" t="s">
        <v>88</v>
      </c>
      <c r="H40" s="11"/>
      <c r="I40" s="16"/>
      <c r="J40" s="21" t="s">
        <v>52</v>
      </c>
      <c r="K40" s="11">
        <v>1</v>
      </c>
      <c r="L40" s="16"/>
    </row>
    <row r="41" spans="1:12" ht="17.25" customHeight="1" x14ac:dyDescent="0.35">
      <c r="A41" s="21" t="s">
        <v>164</v>
      </c>
      <c r="B41" s="11"/>
      <c r="C41" s="12"/>
      <c r="D41" s="21" t="s">
        <v>125</v>
      </c>
      <c r="E41" s="11"/>
      <c r="F41" s="12"/>
      <c r="G41" s="21" t="s">
        <v>89</v>
      </c>
      <c r="H41" s="11"/>
      <c r="I41" s="16">
        <v>1</v>
      </c>
      <c r="J41" s="21" t="s">
        <v>53</v>
      </c>
      <c r="K41" s="11"/>
      <c r="L41" s="16"/>
    </row>
    <row r="42" spans="1:12" ht="17.25" customHeight="1" thickBot="1" x14ac:dyDescent="0.4">
      <c r="A42" s="22" t="s">
        <v>165</v>
      </c>
      <c r="B42" s="13"/>
      <c r="C42" s="14"/>
      <c r="D42" s="22" t="s">
        <v>126</v>
      </c>
      <c r="E42" s="13"/>
      <c r="F42" s="14"/>
      <c r="G42" s="22" t="s">
        <v>90</v>
      </c>
      <c r="H42" s="13"/>
      <c r="I42" s="17"/>
      <c r="J42" s="22" t="s">
        <v>54</v>
      </c>
      <c r="K42" s="13"/>
      <c r="L42" s="17">
        <v>1</v>
      </c>
    </row>
    <row r="43" spans="1:12" ht="17.25" customHeight="1" x14ac:dyDescent="0.35">
      <c r="A43" s="20" t="s">
        <v>166</v>
      </c>
      <c r="B43" s="9">
        <v>1</v>
      </c>
      <c r="C43" s="10"/>
      <c r="D43" s="20" t="s">
        <v>127</v>
      </c>
      <c r="E43" s="9"/>
      <c r="F43" s="10"/>
      <c r="G43" s="7"/>
    </row>
    <row r="44" spans="1:12" ht="17.25" customHeight="1" x14ac:dyDescent="0.35">
      <c r="A44" s="21" t="s">
        <v>167</v>
      </c>
      <c r="B44" s="11"/>
      <c r="C44" s="12"/>
      <c r="D44" s="21" t="s">
        <v>128</v>
      </c>
      <c r="E44" s="11">
        <v>1</v>
      </c>
      <c r="F44" s="12"/>
      <c r="G44" s="7"/>
    </row>
    <row r="45" spans="1:12" ht="17.25" customHeight="1" x14ac:dyDescent="0.35">
      <c r="A45" s="21" t="s">
        <v>168</v>
      </c>
      <c r="B45" s="11"/>
      <c r="C45" s="12"/>
      <c r="D45" s="21" t="s">
        <v>129</v>
      </c>
      <c r="E45" s="11"/>
      <c r="F45" s="12"/>
      <c r="G45" s="7"/>
    </row>
    <row r="46" spans="1:12" ht="17.25" customHeight="1" thickBot="1" x14ac:dyDescent="0.4">
      <c r="A46" s="22" t="s">
        <v>169</v>
      </c>
      <c r="B46" s="13"/>
      <c r="C46" s="14">
        <v>1</v>
      </c>
      <c r="D46" s="22" t="s">
        <v>130</v>
      </c>
      <c r="E46" s="13"/>
      <c r="F46" s="14">
        <v>1</v>
      </c>
      <c r="G46" s="7"/>
    </row>
  </sheetData>
  <mergeCells count="13">
    <mergeCell ref="N14:R14"/>
    <mergeCell ref="S14:W14"/>
    <mergeCell ref="A4:J4"/>
    <mergeCell ref="A5:A6"/>
    <mergeCell ref="D5:D6"/>
    <mergeCell ref="G5:G6"/>
    <mergeCell ref="J5:J6"/>
    <mergeCell ref="B5:C5"/>
    <mergeCell ref="E5:F5"/>
    <mergeCell ref="H5:I5"/>
    <mergeCell ref="K5:L5"/>
    <mergeCell ref="O9:S9"/>
    <mergeCell ref="T9:W9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A2:E13"/>
  <sheetViews>
    <sheetView zoomScale="85" zoomScaleNormal="85" workbookViewId="0">
      <selection activeCell="D4" sqref="D4:O22"/>
    </sheetView>
  </sheetViews>
  <sheetFormatPr baseColWidth="10" defaultRowHeight="14.5" x14ac:dyDescent="0.35"/>
  <cols>
    <col min="2" max="2" width="27.7265625" bestFit="1" customWidth="1"/>
  </cols>
  <sheetData>
    <row r="2" spans="1:5" ht="15" thickBot="1" x14ac:dyDescent="0.4"/>
    <row r="3" spans="1:5" x14ac:dyDescent="0.35">
      <c r="A3" s="42" t="s">
        <v>1</v>
      </c>
      <c r="B3" s="36" t="s">
        <v>176</v>
      </c>
      <c r="C3" s="37">
        <f>'APLICACION Y CONTEO'!W12</f>
        <v>38</v>
      </c>
    </row>
    <row r="4" spans="1:5" x14ac:dyDescent="0.35">
      <c r="A4" s="43"/>
      <c r="B4" t="s">
        <v>177</v>
      </c>
      <c r="C4" s="38">
        <f>'APLICACION Y CONTEO'!V12</f>
        <v>69</v>
      </c>
      <c r="E4" t="s">
        <v>188</v>
      </c>
    </row>
    <row r="5" spans="1:5" x14ac:dyDescent="0.35">
      <c r="A5" s="43"/>
      <c r="B5" t="s">
        <v>178</v>
      </c>
      <c r="C5" s="38">
        <f>'APLICACION Y CONTEO'!U12</f>
        <v>91</v>
      </c>
    </row>
    <row r="6" spans="1:5" ht="15" thickBot="1" x14ac:dyDescent="0.4">
      <c r="A6" s="44"/>
      <c r="B6" s="39" t="s">
        <v>179</v>
      </c>
      <c r="C6" s="40">
        <f>'APLICACION Y CONTEO'!T12</f>
        <v>54</v>
      </c>
    </row>
    <row r="7" spans="1:5" x14ac:dyDescent="0.35">
      <c r="A7" s="45" t="s">
        <v>180</v>
      </c>
      <c r="B7" s="36"/>
      <c r="C7" s="37"/>
    </row>
    <row r="8" spans="1:5" x14ac:dyDescent="0.35">
      <c r="A8" s="46"/>
      <c r="B8" t="s">
        <v>181</v>
      </c>
      <c r="C8" s="38">
        <f>'APLICACION Y CONTEO'!S12</f>
        <v>94</v>
      </c>
    </row>
    <row r="9" spans="1:5" ht="15" thickBot="1" x14ac:dyDescent="0.4">
      <c r="A9" s="46"/>
      <c r="C9" s="38"/>
    </row>
    <row r="10" spans="1:5" x14ac:dyDescent="0.35">
      <c r="A10" s="47" t="s">
        <v>0</v>
      </c>
      <c r="B10" s="36" t="s">
        <v>182</v>
      </c>
      <c r="C10" s="37">
        <f>'APLICACION Y CONTEO'!R12</f>
        <v>45</v>
      </c>
    </row>
    <row r="11" spans="1:5" x14ac:dyDescent="0.35">
      <c r="A11" s="48"/>
      <c r="B11" t="s">
        <v>183</v>
      </c>
      <c r="C11" s="38">
        <f>'APLICACION Y CONTEO'!Q12</f>
        <v>84</v>
      </c>
    </row>
    <row r="12" spans="1:5" x14ac:dyDescent="0.35">
      <c r="A12" s="48"/>
      <c r="B12" t="s">
        <v>184</v>
      </c>
      <c r="C12" s="38">
        <f>'APLICACION Y CONTEO'!P12</f>
        <v>71</v>
      </c>
    </row>
    <row r="13" spans="1:5" ht="15" thickBot="1" x14ac:dyDescent="0.4">
      <c r="A13" s="49"/>
      <c r="B13" s="39" t="s">
        <v>185</v>
      </c>
      <c r="C13" s="40">
        <f>'APLICACION Y CONTEO'!O12</f>
        <v>93</v>
      </c>
    </row>
  </sheetData>
  <mergeCells count="3">
    <mergeCell ref="A3:A6"/>
    <mergeCell ref="A7:A9"/>
    <mergeCell ref="A10:A13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APLICACION Y CONTEO</vt:lpstr>
      <vt:lpstr>CALIFICACIÓN</vt:lpstr>
      <vt:lpstr>CALIFICACIÓN!Área_de_impresión</vt:lpstr>
    </vt:vector>
  </TitlesOfParts>
  <Company>SANTECH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Garavito Ariza</dc:creator>
  <cp:lastModifiedBy>Elisa de la Torre Canto</cp:lastModifiedBy>
  <cp:lastPrinted>2025-08-20T15:45:37Z</cp:lastPrinted>
  <dcterms:created xsi:type="dcterms:W3CDTF">2008-12-13T04:21:03Z</dcterms:created>
  <dcterms:modified xsi:type="dcterms:W3CDTF">2026-06-08T17:01:55Z</dcterms:modified>
</cp:coreProperties>
</file>